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lculadora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0.0%"/>
    <numFmt numFmtId="166" formatCode="\$#,##0;&quot;-$&quot;#,##0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B26B43"/>
      <sz val="9"/>
    </font>
    <font>
      <name val="Arial"/>
      <charset val="1"/>
      <family val="0"/>
      <b val="1"/>
      <color rgb="FF221C18"/>
      <sz val="17"/>
    </font>
    <font>
      <name val="Arial"/>
      <charset val="1"/>
      <family val="0"/>
      <color rgb="FF6F675E"/>
      <sz val="9.5"/>
    </font>
    <font>
      <name val="Arial"/>
      <charset val="1"/>
      <family val="0"/>
      <b val="1"/>
      <color rgb="FFB26B43"/>
      <sz val="11"/>
    </font>
    <font>
      <name val="Arial"/>
      <charset val="1"/>
      <family val="0"/>
      <color rgb="FF221C18"/>
      <sz val="10"/>
    </font>
    <font>
      <name val="Arial"/>
      <charset val="1"/>
      <family val="0"/>
      <b val="1"/>
      <color rgb="FF221C18"/>
      <sz val="11"/>
    </font>
    <font>
      <name val="Arial"/>
      <charset val="1"/>
      <family val="0"/>
      <color rgb="FF221C18"/>
      <sz val="10.5"/>
    </font>
    <font>
      <name val="Arial"/>
      <charset val="1"/>
      <family val="0"/>
      <b val="1"/>
      <color rgb="FFF7F3EB"/>
      <sz val="10"/>
    </font>
    <font>
      <name val="Arial"/>
      <charset val="1"/>
      <family val="0"/>
      <b val="1"/>
      <color rgb="FFF7F3EB"/>
      <sz val="15"/>
    </font>
    <font>
      <name val="Arial"/>
      <charset val="1"/>
      <family val="0"/>
      <color rgb="FFC9C2B8"/>
      <sz val="9.5"/>
    </font>
    <font>
      <name val="Arial"/>
      <charset val="1"/>
      <family val="0"/>
      <b val="1"/>
      <color rgb="FFF7F3EB"/>
      <sz val="12"/>
    </font>
    <font>
      <name val="Arial"/>
      <charset val="1"/>
      <family val="0"/>
      <color rgb="FFC9C2B8"/>
      <sz val="10.5"/>
    </font>
    <font>
      <name val="Arial"/>
      <charset val="1"/>
      <family val="0"/>
      <b val="1"/>
      <color rgb="FF221C18"/>
      <sz val="10.5"/>
    </font>
    <font>
      <name val="Arial"/>
      <charset val="1"/>
      <family val="0"/>
      <color rgb="FF221C18"/>
      <sz val="11"/>
    </font>
    <font>
      <name val="Arial"/>
      <charset val="1"/>
      <family val="0"/>
      <b val="1"/>
      <color rgb="FFF7F3EB"/>
      <sz val="10.5"/>
    </font>
    <font>
      <name val="Arial"/>
      <charset val="1"/>
      <family val="0"/>
      <color rgb="FFF7F3EB"/>
      <sz val="9.5"/>
    </font>
    <font>
      <name val="Arial"/>
      <charset val="1"/>
      <family val="0"/>
      <i val="1"/>
      <color rgb="FF6F675E"/>
      <sz val="8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EDE7DD"/>
        <bgColor rgb="FFF7F3EB"/>
      </patternFill>
    </fill>
    <fill>
      <patternFill patternType="solid">
        <fgColor rgb="FFF7F3EB"/>
        <bgColor rgb="FFEDE7DD"/>
      </patternFill>
    </fill>
    <fill>
      <patternFill patternType="solid">
        <fgColor rgb="FF221C18"/>
        <bgColor rgb="FF333333"/>
      </patternFill>
    </fill>
    <fill>
      <patternFill patternType="solid">
        <fgColor rgb="FFB26B43"/>
        <bgColor rgb="FF6F675E"/>
      </patternFill>
    </fill>
  </fills>
  <borders count="2">
    <border>
      <left/>
      <right/>
      <top/>
      <bottom/>
      <diagonal/>
    </border>
    <border>
      <left style="medium">
        <color rgb="FFB26B43"/>
      </left>
      <right style="medium">
        <color rgb="FFB26B43"/>
      </right>
      <top style="medium">
        <color rgb="FFB26B43"/>
      </top>
      <bottom style="medium">
        <color rgb="FFB26B4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general" vertical="center" wrapText="1"/>
    </xf>
    <xf numFmtId="0" fontId="6" fillId="2" borderId="0" applyAlignment="1" pivotButton="0" quotePrefix="0" xfId="0">
      <alignment horizontal="general" vertical="center" wrapText="1"/>
    </xf>
    <xf numFmtId="0" fontId="7" fillId="2" borderId="0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 wrapText="1"/>
    </xf>
    <xf numFmtId="164" fontId="9" fillId="3" borderId="1" applyAlignment="1" applyProtection="1" pivotButton="0" quotePrefix="0" xfId="0">
      <alignment horizontal="right" vertical="center"/>
      <protection locked="0" hidden="0"/>
    </xf>
    <xf numFmtId="1" fontId="9" fillId="3" borderId="1" applyAlignment="1" applyProtection="1" pivotButton="0" quotePrefix="0" xfId="0">
      <alignment horizontal="right" vertical="center"/>
      <protection locked="0" hidden="0"/>
    </xf>
    <xf numFmtId="165" fontId="9" fillId="3" borderId="1" applyAlignment="1" applyProtection="1" pivotButton="0" quotePrefix="0" xfId="0">
      <alignment horizontal="right" vertical="center"/>
      <protection locked="0" hidden="0"/>
    </xf>
    <xf numFmtId="164" fontId="10" fillId="2" borderId="0" applyAlignment="1" pivotButton="0" quotePrefix="0" xfId="0">
      <alignment horizontal="right" vertical="center"/>
    </xf>
    <xf numFmtId="0" fontId="11" fillId="4" borderId="0" applyAlignment="1" pivotButton="0" quotePrefix="0" xfId="0">
      <alignment horizontal="general" vertical="center" wrapText="1"/>
    </xf>
    <xf numFmtId="0" fontId="0" fillId="4" borderId="0" applyAlignment="1" pivotButton="0" quotePrefix="0" xfId="0">
      <alignment horizontal="general" vertical="bottom"/>
    </xf>
    <xf numFmtId="166" fontId="12" fillId="4" borderId="0" applyAlignment="1" pivotButton="0" quotePrefix="0" xfId="0">
      <alignment horizontal="right" vertical="center"/>
    </xf>
    <xf numFmtId="0" fontId="13" fillId="4" borderId="0" applyAlignment="1" pivotButton="0" quotePrefix="0" xfId="0">
      <alignment horizontal="general" vertical="center" wrapText="1"/>
    </xf>
    <xf numFmtId="165" fontId="14" fillId="4" borderId="0" applyAlignment="1" pivotButton="0" quotePrefix="0" xfId="0">
      <alignment horizontal="right" vertical="center"/>
    </xf>
    <xf numFmtId="164" fontId="15" fillId="4" borderId="0" applyAlignment="1" pivotButton="0" quotePrefix="0" xfId="0">
      <alignment horizontal="right" vertical="center"/>
    </xf>
    <xf numFmtId="0" fontId="16" fillId="2" borderId="0" applyAlignment="1" pivotButton="0" quotePrefix="0" xfId="0">
      <alignment horizontal="general" vertical="top" wrapText="1"/>
    </xf>
    <xf numFmtId="165" fontId="17" fillId="2" borderId="0" applyAlignment="1" pivotButton="0" quotePrefix="0" xfId="0">
      <alignment horizontal="right" vertical="center"/>
    </xf>
    <xf numFmtId="165" fontId="9" fillId="2" borderId="0" applyAlignment="1" pivotButton="0" quotePrefix="0" xfId="0">
      <alignment horizontal="right" vertical="center"/>
    </xf>
    <xf numFmtId="0" fontId="18" fillId="5" borderId="0" applyAlignment="1" pivotButton="0" quotePrefix="0" xfId="0">
      <alignment horizontal="general" vertical="center" wrapText="1"/>
    </xf>
    <xf numFmtId="0" fontId="19" fillId="5" borderId="0" applyAlignment="1" pivotButton="0" quotePrefix="0" xfId="0">
      <alignment horizontal="general" vertical="center" wrapText="1"/>
    </xf>
    <xf numFmtId="0" fontId="11" fillId="5" borderId="0" applyAlignment="1" pivotButton="0" quotePrefix="0" xfId="0">
      <alignment horizontal="general" vertical="center" wrapText="1"/>
    </xf>
    <xf numFmtId="0" fontId="20" fillId="2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general" vertical="center" wrapText="1"/>
    </xf>
    <xf numFmtId="0" fontId="6" fillId="2" borderId="0" applyAlignment="1" pivotButton="0" quotePrefix="0" xfId="0">
      <alignment horizontal="general" vertical="center" wrapText="1"/>
    </xf>
    <xf numFmtId="0" fontId="6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 wrapText="1"/>
    </xf>
    <xf numFmtId="164" fontId="9" fillId="3" borderId="1" applyAlignment="1" applyProtection="1" pivotButton="0" quotePrefix="0" xfId="0">
      <alignment horizontal="right" vertical="center"/>
      <protection locked="0" hidden="0"/>
    </xf>
    <xf numFmtId="1" fontId="9" fillId="3" borderId="1" applyAlignment="1" applyProtection="1" pivotButton="0" quotePrefix="0" xfId="0">
      <alignment horizontal="right" vertical="center"/>
      <protection locked="0" hidden="0"/>
    </xf>
    <xf numFmtId="165" fontId="9" fillId="3" borderId="1" applyAlignment="1" applyProtection="1" pivotButton="0" quotePrefix="0" xfId="0">
      <alignment horizontal="right" vertical="center"/>
      <protection locked="0" hidden="0"/>
    </xf>
    <xf numFmtId="164" fontId="10" fillId="2" borderId="0" applyAlignment="1" pivotButton="0" quotePrefix="0" xfId="0">
      <alignment horizontal="right" vertical="center"/>
    </xf>
    <xf numFmtId="0" fontId="11" fillId="4" borderId="0" applyAlignment="1" pivotButton="0" quotePrefix="0" xfId="0">
      <alignment horizontal="general" vertical="center" wrapText="1"/>
    </xf>
    <xf numFmtId="0" fontId="0" fillId="4" borderId="0" applyAlignment="1" pivotButton="0" quotePrefix="0" xfId="0">
      <alignment horizontal="general" vertical="bottom"/>
    </xf>
    <xf numFmtId="166" fontId="12" fillId="4" borderId="0" applyAlignment="1" pivotButton="0" quotePrefix="0" xfId="0">
      <alignment horizontal="right" vertical="center"/>
    </xf>
    <xf numFmtId="0" fontId="13" fillId="4" borderId="0" applyAlignment="1" pivotButton="0" quotePrefix="0" xfId="0">
      <alignment horizontal="general" vertical="center" wrapText="1"/>
    </xf>
    <xf numFmtId="165" fontId="14" fillId="4" borderId="0" applyAlignment="1" pivotButton="0" quotePrefix="0" xfId="0">
      <alignment horizontal="right" vertical="center"/>
    </xf>
    <xf numFmtId="164" fontId="15" fillId="4" borderId="0" applyAlignment="1" pivotButton="0" quotePrefix="0" xfId="0">
      <alignment horizontal="right" vertical="center"/>
    </xf>
    <xf numFmtId="0" fontId="16" fillId="2" borderId="0" applyAlignment="1" pivotButton="0" quotePrefix="0" xfId="0">
      <alignment horizontal="general" vertical="top" wrapText="1"/>
    </xf>
    <xf numFmtId="165" fontId="17" fillId="2" borderId="0" applyAlignment="1" pivotButton="0" quotePrefix="0" xfId="0">
      <alignment horizontal="right" vertical="center"/>
    </xf>
    <xf numFmtId="165" fontId="9" fillId="2" borderId="0" applyAlignment="1" pivotButton="0" quotePrefix="0" xfId="0">
      <alignment horizontal="right" vertical="center"/>
    </xf>
    <xf numFmtId="0" fontId="18" fillId="5" borderId="0" applyAlignment="1" pivotButton="0" quotePrefix="0" xfId="0">
      <alignment horizontal="general" vertical="center" wrapText="1"/>
    </xf>
    <xf numFmtId="0" fontId="19" fillId="5" borderId="0" applyAlignment="1" pivotButton="0" quotePrefix="0" xfId="0">
      <alignment horizontal="general" vertical="center" wrapText="1"/>
    </xf>
    <xf numFmtId="0" fontId="11" fillId="5" borderId="0" applyAlignment="1" pivotButton="0" quotePrefix="0" xfId="0">
      <alignment horizontal="general" vertical="center" wrapText="1"/>
    </xf>
    <xf numFmtId="0" fontId="20" fillId="2" borderId="0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name val="Arial"/>
        <charset val="1"/>
        <family val="0"/>
        <b val="1"/>
        <color rgb="FFE8A199"/>
        <sz val="15"/>
      </font>
    </dxf>
    <dxf>
      <font>
        <name val="Arial"/>
        <charset val="1"/>
        <family val="0"/>
        <b val="1"/>
        <color rgb="FFE8A199"/>
        <sz val="12"/>
      </font>
    </dxf>
  </dxfs>
  <colors>
    <indexedColors>
      <rgbColor rgb="FF000000"/>
      <rgbColor rgb="FFF7F3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2B8"/>
      <rgbColor rgb="FFB26B43"/>
      <rgbColor rgb="FF9999FF"/>
      <rgbColor rgb="FF993366"/>
      <rgbColor rgb="FFEDE7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8A1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F675E"/>
      <rgbColor rgb="FF969696"/>
      <rgbColor rgb="FF003366"/>
      <rgbColor rgb="FF339966"/>
      <rgbColor rgb="FF003300"/>
      <rgbColor rgb="FF221C18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D12" authorId="0" shapeId="0">
      <text>
        <t>Los gastos que pagas aunque no tengas obra: renta, camioneta, contador, teléfono, tu oficina. Si no los conoces, súmalos una vez — es de los números más importantes de tu negocio.</t>
      </text>
    </comment>
    <comment ref="D19" authorId="0" shapeId="0">
      <text>
        <t>Supuesto: repartimos tu gasto fijo mensual entre las semanas que duró el proyecto (un mes = 4.33 semanas). Es una aproximación honesta: si tienes varios proyectos a la vez, la parte que le toca a este puede ser menor.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4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5" customWidth="1" style="24" min="1" max="1"/>
    <col width="58" customWidth="1" style="24" min="2" max="2"/>
    <col width="2.5" customWidth="1" style="24" min="3" max="3"/>
    <col width="20" customWidth="1" style="24" min="4" max="4"/>
    <col width="2.5" customWidth="1" style="24" min="5" max="5"/>
  </cols>
  <sheetData>
    <row r="1" ht="15" customHeight="1" s="25">
      <c r="A1" s="26" t="n"/>
      <c r="B1" s="26" t="n"/>
      <c r="C1" s="26" t="n"/>
      <c r="D1" s="26" t="n"/>
      <c r="E1" s="26" t="n"/>
    </row>
    <row r="2" ht="15" customHeight="1" s="25">
      <c r="A2" s="26" t="n"/>
      <c r="B2" s="27" t="inlineStr">
        <is>
          <t>CUADRE  ·  LA CALCULADORA DE UTILIDAD REAL</t>
        </is>
      </c>
      <c r="C2" s="26" t="n"/>
      <c r="D2" s="26" t="n"/>
      <c r="E2" s="26" t="n"/>
    </row>
    <row r="3" ht="43.5" customHeight="1" s="25">
      <c r="A3" s="26" t="n"/>
      <c r="B3" s="28" t="inlineStr">
        <is>
          <t>¿Cuánto ganaste de verdad en tu último proyecto?</t>
        </is>
      </c>
      <c r="E3" s="26" t="n"/>
    </row>
    <row r="4" ht="30" customHeight="1" s="25">
      <c r="A4" s="26" t="n"/>
      <c r="B4" s="29" t="inlineStr">
        <is>
          <t>Llena las 7 celdas con borde terracota (vienen con un ejemplo — bórralo y pon tus números, sin IVA). El resultado se calcula solo.</t>
        </is>
      </c>
      <c r="E4" s="26" t="n"/>
    </row>
    <row r="5" ht="16" customHeight="1" s="25">
      <c r="A5" s="26" t="n"/>
      <c r="B5" s="30" t="inlineStr">
        <is>
          <t>¿No tienes un dato exacto? Pon tu mejor estimado: la cuenta completa funciona con números gruesos.</t>
        </is>
      </c>
      <c r="E5" s="26" t="n"/>
    </row>
    <row r="6" ht="15" customHeight="1" s="25">
      <c r="A6" s="26" t="n"/>
      <c r="B6" s="31" t="inlineStr">
        <is>
          <t>1 · TU PROYECTO</t>
        </is>
      </c>
      <c r="C6" s="26" t="n"/>
      <c r="D6" s="26" t="n"/>
      <c r="E6" s="26" t="n"/>
    </row>
    <row r="7" ht="15" customHeight="1" s="25">
      <c r="A7" s="26" t="n"/>
      <c r="B7" s="26" t="n"/>
      <c r="C7" s="26" t="n"/>
      <c r="D7" s="26" t="n"/>
      <c r="E7" s="26" t="n"/>
    </row>
    <row r="8" ht="19.5" customHeight="1" s="25">
      <c r="A8" s="26" t="n"/>
      <c r="B8" s="32" t="inlineStr">
        <is>
          <t>¿En cuánto cerraste el proyecto? (lo que cobraste, sin IVA)</t>
        </is>
      </c>
      <c r="C8" s="26" t="n"/>
      <c r="D8" s="33" t="n">
        <v>480000</v>
      </c>
      <c r="E8" s="26" t="n"/>
    </row>
    <row r="9" ht="19.5" customHeight="1" s="25">
      <c r="A9" s="26" t="n"/>
      <c r="B9" s="32" t="inlineStr">
        <is>
          <t>Materiales que compraste</t>
        </is>
      </c>
      <c r="C9" s="26" t="n"/>
      <c r="D9" s="33" t="n">
        <v>210000</v>
      </c>
      <c r="E9" s="26" t="n"/>
    </row>
    <row r="10" ht="19.5" customHeight="1" s="25">
      <c r="A10" s="26" t="n"/>
      <c r="B10" s="32" t="inlineStr">
        <is>
          <t>Mano de obra que pagaste (raya, destajos)</t>
        </is>
      </c>
      <c r="C10" s="26" t="n"/>
      <c r="D10" s="33" t="n">
        <v>130000</v>
      </c>
      <c r="E10" s="26" t="n"/>
    </row>
    <row r="11" ht="19.5" customHeight="1" s="25">
      <c r="A11" s="26" t="n"/>
      <c r="B11" s="32" t="inlineStr">
        <is>
          <t>Otros gastos directos (fletes, renta de equipo, subcontratos)</t>
        </is>
      </c>
      <c r="C11" s="26" t="n"/>
      <c r="D11" s="33" t="n">
        <v>28000</v>
      </c>
      <c r="E11" s="26" t="n"/>
    </row>
    <row r="12" ht="19.5" customHeight="1" s="25">
      <c r="A12" s="26" t="n"/>
      <c r="B12" s="32" t="inlineStr">
        <is>
          <t>Tu gasto fijo mensual (renta, camioneta, contador, oficina)</t>
        </is>
      </c>
      <c r="C12" s="26" t="n"/>
      <c r="D12" s="33" t="n">
        <v>35000</v>
      </c>
      <c r="E12" s="26" t="n"/>
    </row>
    <row r="13" ht="19.5" customHeight="1" s="25">
      <c r="A13" s="26" t="n"/>
      <c r="B13" s="32" t="inlineStr">
        <is>
          <t>¿Cuántas semanas duró el proyecto?</t>
        </is>
      </c>
      <c r="C13" s="26" t="n"/>
      <c r="D13" s="34" t="n">
        <v>6</v>
      </c>
      <c r="E13" s="26" t="n"/>
    </row>
    <row r="14" ht="19.5" customHeight="1" s="25">
      <c r="A14" s="26" t="n"/>
      <c r="B14" s="32" t="inlineStr">
        <is>
          <t>¿Qué % de utilidad creías que le cargaste?</t>
        </is>
      </c>
      <c r="C14" s="26" t="n"/>
      <c r="D14" s="35" t="n">
        <v>0.15</v>
      </c>
      <c r="E14" s="26" t="n"/>
    </row>
    <row r="15" ht="15" customHeight="1" s="25">
      <c r="A15" s="26" t="n"/>
      <c r="B15" s="26" t="n"/>
      <c r="C15" s="26" t="n"/>
      <c r="D15" s="26" t="n"/>
      <c r="E15" s="26" t="n"/>
    </row>
    <row r="16" ht="15" customHeight="1" s="25">
      <c r="A16" s="26" t="n"/>
      <c r="B16" s="31" t="inlineStr">
        <is>
          <t>2 · TU NÚMERO REAL</t>
        </is>
      </c>
      <c r="C16" s="26" t="n"/>
      <c r="D16" s="26" t="n"/>
      <c r="E16" s="26" t="n"/>
    </row>
    <row r="17" ht="15" customHeight="1" s="25">
      <c r="A17" s="26" t="n"/>
      <c r="B17" s="26" t="n"/>
      <c r="C17" s="26" t="n"/>
      <c r="D17" s="26" t="n"/>
      <c r="E17" s="26" t="n"/>
    </row>
    <row r="18" ht="15" customHeight="1" s="25">
      <c r="A18" s="26" t="n"/>
      <c r="B18" s="32" t="inlineStr">
        <is>
          <t>Costo directo (material + mano de obra + otros)</t>
        </is>
      </c>
      <c r="C18" s="26" t="n"/>
      <c r="D18" s="36">
        <f>D9+D10+D11</f>
        <v/>
      </c>
      <c r="E18" s="26" t="n"/>
    </row>
    <row r="19" ht="15" customHeight="1" s="25">
      <c r="A19" s="26" t="n"/>
      <c r="B19" s="32" t="inlineStr">
        <is>
          <t>Gasto fijo que le toca a este proyecto</t>
        </is>
      </c>
      <c r="C19" s="26" t="n"/>
      <c r="D19" s="36">
        <f>D12*(D13/4.33)</f>
        <v/>
      </c>
      <c r="E19" s="26" t="n"/>
    </row>
    <row r="20" ht="15" customHeight="1" s="25">
      <c r="A20" s="26" t="n"/>
      <c r="B20" s="32" t="inlineStr">
        <is>
          <t>Costo total del proyecto</t>
        </is>
      </c>
      <c r="C20" s="26" t="n"/>
      <c r="D20" s="36">
        <f>D18+D19</f>
        <v/>
      </c>
      <c r="E20" s="26" t="n"/>
    </row>
    <row r="21" ht="15" customHeight="1" s="25">
      <c r="A21" s="26" t="n"/>
      <c r="B21" s="26" t="n"/>
      <c r="C21" s="26" t="n"/>
      <c r="D21" s="26" t="n"/>
      <c r="E21" s="26" t="n"/>
    </row>
    <row r="22" ht="25.5" customHeight="1" s="25">
      <c r="A22" s="26" t="n"/>
      <c r="B22" s="37" t="inlineStr">
        <is>
          <t>LO QUE TE DEJÓ ESTE PROYECTO</t>
        </is>
      </c>
      <c r="C22" s="38" t="n"/>
      <c r="D22" s="39">
        <f>D8-D20</f>
        <v/>
      </c>
      <c r="E22" s="26" t="n"/>
    </row>
    <row r="23" ht="15" customHeight="1" s="25">
      <c r="A23" s="26" t="n"/>
      <c r="B23" s="40" t="inlineStr">
        <is>
          <t>Tu utilidad real, sobre lo que cobraste</t>
        </is>
      </c>
      <c r="C23" s="38" t="n"/>
      <c r="D23" s="41">
        <f>IFERROR(D22/D8,0)</f>
        <v/>
      </c>
      <c r="E23" s="26" t="n"/>
    </row>
    <row r="24" ht="15" customHeight="1" s="25">
      <c r="A24" s="26" t="n"/>
      <c r="B24" s="40" t="inlineStr">
        <is>
          <t>Lo que esperabas ganar (si tu % era sobre lo cobrado)</t>
        </is>
      </c>
      <c r="C24" s="38" t="n"/>
      <c r="D24" s="42">
        <f>D8*D14</f>
        <v/>
      </c>
      <c r="E24" s="26" t="n"/>
    </row>
    <row r="25" ht="15" customHeight="1" s="25">
      <c r="A25" s="26" t="n"/>
      <c r="B25" s="26" t="n"/>
      <c r="C25" s="26" t="n"/>
      <c r="D25" s="26" t="n"/>
      <c r="E25" s="26" t="n"/>
    </row>
    <row r="26" ht="18" customHeight="1" s="25">
      <c r="A26" s="26" t="n"/>
      <c r="B26" s="43">
        <f>IF(D8=0,"Llena tus datos arriba para ver tu número.",IF(D22&lt;0,"Este proyecto te costó dinero. No eres el único: sin registro, nadie lo ve venir — es mejor saberlo hoy que en el siguiente.",IF(D22&lt;D24,"Ganaste — pero menos de lo que creías. Esa diferencia es dinero que se fue sin avisar: ahora ya sabes que existe y puedes ir por él.","Tu número real alcanza lo que esperabas. Ahora imagina tener esta certeza en cada proyecto, sin hacer cuentas a mano.")))</f>
        <v/>
      </c>
      <c r="E26" s="26" t="n"/>
    </row>
    <row r="27" ht="18" customHeight="1" s="25">
      <c r="A27" s="26" t="n"/>
      <c r="E27" s="26" t="n"/>
    </row>
    <row r="28" ht="15" customHeight="1" s="25">
      <c r="A28" s="26" t="n"/>
      <c r="B28" s="26" t="n"/>
      <c r="C28" s="26" t="n"/>
      <c r="D28" s="26" t="n"/>
      <c r="E28" s="26" t="n"/>
    </row>
    <row r="29" ht="15" customHeight="1" s="25">
      <c r="A29" s="26" t="n"/>
      <c r="B29" s="31" t="inlineStr">
        <is>
          <t>3 · EL MISMO DINERO, TRES PORCENTAJES</t>
        </is>
      </c>
      <c r="C29" s="26" t="n"/>
      <c r="D29" s="26" t="n"/>
      <c r="E29" s="26" t="n"/>
    </row>
    <row r="30" ht="27.75" customHeight="1" s="25">
      <c r="A30" s="26" t="n"/>
      <c r="B30" s="29" t="inlineStr">
        <is>
          <t>La misma utilidad en pesos se convierte en tres porcentajes distintos según sobre qué la midas. Por eso decir “le cargo el 15%” no significa nada hasta que dices 15% ¿sobre qué?</t>
        </is>
      </c>
      <c r="E30" s="26" t="n"/>
    </row>
    <row r="31" ht="15" customHeight="1" s="25">
      <c r="A31" s="26" t="n"/>
      <c r="B31" s="26" t="n"/>
      <c r="C31" s="26" t="n"/>
      <c r="D31" s="26" t="n"/>
      <c r="E31" s="26" t="n"/>
    </row>
    <row r="32" ht="15" customHeight="1" s="25">
      <c r="A32" s="26" t="n"/>
      <c r="B32" s="32" t="inlineStr">
        <is>
          <t>Sobre tu costo directo</t>
        </is>
      </c>
      <c r="C32" s="26" t="n"/>
      <c r="D32" s="44">
        <f>IFERROR(D22/D18,0)</f>
        <v/>
      </c>
      <c r="E32" s="26" t="n"/>
    </row>
    <row r="33" ht="15" customHeight="1" s="25">
      <c r="A33" s="26" t="n"/>
      <c r="B33" s="32" t="inlineStr">
        <is>
          <t>Sobre tu costo total</t>
        </is>
      </c>
      <c r="C33" s="26" t="n"/>
      <c r="D33" s="44">
        <f>IFERROR(D22/D20,0)</f>
        <v/>
      </c>
      <c r="E33" s="26" t="n"/>
    </row>
    <row r="34" ht="15" customHeight="1" s="25">
      <c r="A34" s="26" t="n"/>
      <c r="B34" s="32" t="inlineStr">
        <is>
          <t>Sobre lo que cobraste (la que importa para comparar)</t>
        </is>
      </c>
      <c r="C34" s="26" t="n"/>
      <c r="D34" s="45">
        <f>IFERROR(D22/D8,0)</f>
        <v/>
      </c>
      <c r="E34" s="26" t="n"/>
    </row>
    <row r="35" ht="15" customHeight="1" s="25">
      <c r="A35" s="26" t="n"/>
      <c r="B35" s="26" t="n"/>
      <c r="C35" s="26" t="n"/>
      <c r="D35" s="26" t="n"/>
      <c r="E35" s="26" t="n"/>
    </row>
    <row r="36" ht="15" customHeight="1" s="25">
      <c r="A36" s="26" t="n"/>
      <c r="B36" s="26" t="n"/>
      <c r="C36" s="26" t="n"/>
      <c r="D36" s="26" t="n"/>
      <c r="E36" s="26" t="n"/>
    </row>
    <row r="37" ht="19.5" customHeight="1" s="25">
      <c r="A37" s="26" t="n"/>
      <c r="B37" s="46" t="inlineStr">
        <is>
          <t>Esto — saber, no suponer — es lo que Cuadre hace solo, en cada proyecto.</t>
        </is>
      </c>
      <c r="E37" s="26" t="n"/>
    </row>
    <row r="38" ht="25.5" customHeight="1" s="25">
      <c r="A38" s="26" t="n"/>
      <c r="B38" s="47" t="inlineStr">
        <is>
          <t>Congela tus precios, registra lo que entra y sale, y te dice cuánto te dejó cada trabajo.</t>
        </is>
      </c>
      <c r="E38" s="26" t="n"/>
    </row>
    <row r="39" ht="18" customHeight="1" s="25">
      <c r="A39" s="26" t="n"/>
      <c r="B39" s="48" t="inlineStr">
        <is>
          <t>Pruébala antes que nadie:  hazquecuadre.com   ·   @hazquecuadre</t>
        </is>
      </c>
      <c r="E39" s="26" t="n"/>
    </row>
    <row r="40" ht="15" customHeight="1" s="25">
      <c r="A40" s="26" t="n"/>
      <c r="B40" s="26" t="n"/>
      <c r="C40" s="26" t="n"/>
      <c r="D40" s="26" t="n"/>
      <c r="E40" s="26" t="n"/>
    </row>
    <row r="41" ht="24" customHeight="1" s="25">
      <c r="A41" s="26" t="n"/>
      <c r="B41" s="49" t="inlineStr">
        <is>
          <t>Cifras sin IVA para comparar peras con peras. El prorrateo del gasto fijo (semanas ÷ 4.33) es una aproximación — la nota de la celda lo explica. Hecha por Cuadre · agosto 2026.</t>
        </is>
      </c>
      <c r="E41" s="26" t="n"/>
    </row>
    <row r="42" ht="15" customHeight="1" s="25">
      <c r="A42" s="26" t="n"/>
      <c r="B42" s="26" t="n"/>
      <c r="C42" s="26" t="n"/>
      <c r="D42" s="26" t="n"/>
      <c r="E42" s="26" t="n"/>
    </row>
    <row r="43" ht="15" customHeight="1" s="25">
      <c r="A43" s="26" t="n"/>
      <c r="B43" s="26" t="n"/>
      <c r="C43" s="26" t="n"/>
      <c r="D43" s="26" t="n"/>
      <c r="E43" s="26" t="n"/>
    </row>
    <row r="44" ht="15" customHeight="1" s="25">
      <c r="A44" s="26" t="n"/>
      <c r="B44" s="26" t="n"/>
      <c r="C44" s="26" t="n"/>
      <c r="D44" s="26" t="n"/>
      <c r="E44" s="26" t="n"/>
    </row>
    <row r="45" ht="15" customHeight="1" s="25">
      <c r="A45" s="26" t="n"/>
      <c r="B45" s="26" t="n"/>
      <c r="C45" s="26" t="n"/>
      <c r="D45" s="26" t="n"/>
      <c r="E45" s="26" t="n"/>
    </row>
    <row r="46" ht="15" customHeight="1" s="25">
      <c r="A46" s="26" t="n"/>
      <c r="B46" s="26" t="n"/>
      <c r="C46" s="26" t="n"/>
      <c r="D46" s="26" t="n"/>
      <c r="E46" s="2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9">
    <mergeCell ref="B3:D3"/>
    <mergeCell ref="B26:D27"/>
    <mergeCell ref="B37:D37"/>
    <mergeCell ref="B5:D5"/>
    <mergeCell ref="B41:D41"/>
    <mergeCell ref="B4:D4"/>
    <mergeCell ref="B30:D30"/>
    <mergeCell ref="B39:D39"/>
    <mergeCell ref="B38:D38"/>
  </mergeCells>
  <conditionalFormatting sqref="D22">
    <cfRule type="cellIs" rank="0" priority="2" equalAverage="0" operator="lessThan" aboveAverage="0" dxfId="0" text="" percent="0" bottom="0">
      <formula>0</formula>
    </cfRule>
  </conditionalFormatting>
  <conditionalFormatting sqref="D23">
    <cfRule type="cellIs" rank="0" priority="3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2026-08-24T21:52:58Z</dcterms:created>
  <dcterms:modified xmlns:dcterms="http://purl.org/dc/terms/" xmlns:xsi="http://www.w3.org/2001/XMLSchema-instance" xsi:type="dcterms:W3CDTF">2026-09-06T17:33:31Z</dcterms:modified>
  <cp:revision>0</cp:revision>
</cp:coreProperties>
</file>